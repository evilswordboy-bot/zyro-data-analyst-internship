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Rides Data" sheetId="1" state="visible" r:id="rId1"/>
    <sheet name="Executive KPIs &amp; Fo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E5FF"/>
      <sz val="11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1329"/>
        <bgColor rgb="000B1329"/>
      </patternFill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  <col width="12" customWidth="1" min="5" max="5"/>
    <col width="17" customWidth="1" min="6" max="6"/>
    <col width="14" customWidth="1" min="7" max="7"/>
    <col width="12" customWidth="1" min="8" max="8"/>
  </cols>
  <sheetData>
    <row r="1">
      <c r="A1" s="1" t="inlineStr">
        <is>
          <t>Ride ID</t>
        </is>
      </c>
      <c r="B1" s="1" t="inlineStr">
        <is>
          <t>Date</t>
        </is>
      </c>
      <c r="C1" s="1" t="inlineStr">
        <is>
          <t>Pickup Location</t>
        </is>
      </c>
      <c r="D1" s="1" t="inlineStr">
        <is>
          <t>Drop-off Location</t>
        </is>
      </c>
      <c r="E1" s="1" t="inlineStr">
        <is>
          <t>Fare</t>
        </is>
      </c>
      <c r="F1" s="1" t="inlineStr">
        <is>
          <t>Payment Method</t>
        </is>
      </c>
      <c r="G1" s="1" t="inlineStr">
        <is>
          <t>Ride Status</t>
        </is>
      </c>
      <c r="H1" s="1" t="inlineStr">
        <is>
          <t>Rating</t>
        </is>
      </c>
    </row>
    <row r="2">
      <c r="A2" t="inlineStr">
        <is>
          <t>R001</t>
        </is>
      </c>
      <c r="B2" t="inlineStr">
        <is>
          <t>2026-09-07</t>
        </is>
      </c>
      <c r="C2" t="inlineStr">
        <is>
          <t>Johar Town</t>
        </is>
      </c>
      <c r="D2" t="inlineStr">
        <is>
          <t>Model Town</t>
        </is>
      </c>
      <c r="E2" t="n">
        <v>300</v>
      </c>
      <c r="F2" t="inlineStr">
        <is>
          <t>Card</t>
        </is>
      </c>
      <c r="G2" t="inlineStr">
        <is>
          <t>Completed</t>
        </is>
      </c>
      <c r="H2" t="n">
        <v>3.6</v>
      </c>
    </row>
    <row r="3">
      <c r="A3" t="inlineStr">
        <is>
          <t>R002</t>
        </is>
      </c>
      <c r="B3" t="inlineStr">
        <is>
          <t>2026-09-05</t>
        </is>
      </c>
      <c r="C3" t="inlineStr">
        <is>
          <t>Model Town</t>
        </is>
      </c>
      <c r="D3" t="inlineStr">
        <is>
          <t>Model Town</t>
        </is>
      </c>
      <c r="E3" t="n">
        <v>634</v>
      </c>
      <c r="F3" t="inlineStr">
        <is>
          <t>UPI</t>
        </is>
      </c>
      <c r="G3" t="inlineStr">
        <is>
          <t>Completed</t>
        </is>
      </c>
      <c r="H3" t="n">
        <v>5</v>
      </c>
    </row>
    <row r="4">
      <c r="A4" t="inlineStr">
        <is>
          <t>R003</t>
        </is>
      </c>
      <c r="B4" t="inlineStr">
        <is>
          <t>2026-09-06</t>
        </is>
      </c>
      <c r="C4" t="inlineStr">
        <is>
          <t>DHA</t>
        </is>
      </c>
      <c r="D4" t="inlineStr">
        <is>
          <t>Johar Town</t>
        </is>
      </c>
      <c r="E4" t="n">
        <v>444</v>
      </c>
      <c r="F4" t="inlineStr">
        <is>
          <t>Cash</t>
        </is>
      </c>
      <c r="G4" t="inlineStr">
        <is>
          <t>Completed</t>
        </is>
      </c>
      <c r="H4" t="n">
        <v>4.1</v>
      </c>
    </row>
    <row r="5">
      <c r="A5" t="inlineStr">
        <is>
          <t>R004</t>
        </is>
      </c>
      <c r="B5" t="inlineStr">
        <is>
          <t>2026-09-10</t>
        </is>
      </c>
      <c r="C5" t="inlineStr">
        <is>
          <t>DHA</t>
        </is>
      </c>
      <c r="D5" t="inlineStr">
        <is>
          <t>Johar Town</t>
        </is>
      </c>
      <c r="E5" t="n">
        <v>228</v>
      </c>
      <c r="F5" t="inlineStr">
        <is>
          <t>UPI</t>
        </is>
      </c>
      <c r="G5" t="inlineStr">
        <is>
          <t>Completed</t>
        </is>
      </c>
      <c r="H5" t="n">
        <v>4.2</v>
      </c>
    </row>
    <row r="6">
      <c r="A6" t="inlineStr">
        <is>
          <t>R005</t>
        </is>
      </c>
      <c r="B6" t="inlineStr">
        <is>
          <t>2026-09-03</t>
        </is>
      </c>
      <c r="C6" t="inlineStr">
        <is>
          <t>Gulberg</t>
        </is>
      </c>
      <c r="D6" t="inlineStr">
        <is>
          <t>Johar Town</t>
        </is>
      </c>
      <c r="E6" t="n">
        <v>432</v>
      </c>
      <c r="F6" t="inlineStr">
        <is>
          <t>Cash</t>
        </is>
      </c>
      <c r="G6" t="inlineStr">
        <is>
          <t>Completed</t>
        </is>
      </c>
      <c r="H6" t="n">
        <v>3.8</v>
      </c>
    </row>
    <row r="7">
      <c r="A7" t="inlineStr">
        <is>
          <t>R006</t>
        </is>
      </c>
      <c r="B7" t="inlineStr">
        <is>
          <t>2026-09-04</t>
        </is>
      </c>
      <c r="C7" t="inlineStr">
        <is>
          <t>Bahria Town</t>
        </is>
      </c>
      <c r="D7" t="inlineStr">
        <is>
          <t>Gulberg</t>
        </is>
      </c>
      <c r="E7" t="n">
        <v>368</v>
      </c>
      <c r="F7" t="inlineStr">
        <is>
          <t>Cash</t>
        </is>
      </c>
      <c r="G7" t="inlineStr">
        <is>
          <t>Completed</t>
        </is>
      </c>
      <c r="H7" t="n">
        <v>3.5</v>
      </c>
    </row>
    <row r="8">
      <c r="A8" t="inlineStr">
        <is>
          <t>R007</t>
        </is>
      </c>
      <c r="B8" t="inlineStr">
        <is>
          <t>2026-09-07</t>
        </is>
      </c>
      <c r="C8" t="inlineStr">
        <is>
          <t>Model Town</t>
        </is>
      </c>
      <c r="D8" t="inlineStr">
        <is>
          <t>Model Town</t>
        </is>
      </c>
      <c r="E8" t="n">
        <v>502</v>
      </c>
      <c r="F8" t="inlineStr">
        <is>
          <t>Cash</t>
        </is>
      </c>
      <c r="G8" t="inlineStr">
        <is>
          <t>Cancelled</t>
        </is>
      </c>
      <c r="H8" t="n">
        <v/>
      </c>
    </row>
    <row r="9">
      <c r="A9" t="inlineStr">
        <is>
          <t>R008</t>
        </is>
      </c>
      <c r="B9" t="inlineStr">
        <is>
          <t>2026-09-06</t>
        </is>
      </c>
      <c r="C9" t="inlineStr">
        <is>
          <t>DHA</t>
        </is>
      </c>
      <c r="D9" t="inlineStr">
        <is>
          <t>Johar Town</t>
        </is>
      </c>
      <c r="E9" t="n">
        <v>297</v>
      </c>
      <c r="F9" t="inlineStr">
        <is>
          <t>UPI</t>
        </is>
      </c>
      <c r="G9" t="inlineStr">
        <is>
          <t>Completed</t>
        </is>
      </c>
      <c r="H9" t="n">
        <v>5</v>
      </c>
    </row>
    <row r="10">
      <c r="A10" t="inlineStr">
        <is>
          <t>R009</t>
        </is>
      </c>
      <c r="B10" t="inlineStr">
        <is>
          <t>2026-09-02</t>
        </is>
      </c>
      <c r="C10" t="inlineStr">
        <is>
          <t>Gulberg</t>
        </is>
      </c>
      <c r="D10" t="inlineStr">
        <is>
          <t>Johar Town</t>
        </is>
      </c>
      <c r="E10" t="n">
        <v>319</v>
      </c>
      <c r="F10" t="inlineStr">
        <is>
          <t>UPI</t>
        </is>
      </c>
      <c r="G10" t="inlineStr">
        <is>
          <t>Completed</t>
        </is>
      </c>
      <c r="H10" t="n">
        <v>3.9</v>
      </c>
    </row>
    <row r="11">
      <c r="A11" t="inlineStr">
        <is>
          <t>R010</t>
        </is>
      </c>
      <c r="B11" t="inlineStr">
        <is>
          <t>2026-09-10</t>
        </is>
      </c>
      <c r="C11" t="inlineStr">
        <is>
          <t>Bahria Town</t>
        </is>
      </c>
      <c r="D11" t="inlineStr">
        <is>
          <t>Johar Town</t>
        </is>
      </c>
      <c r="E11" t="n">
        <v>261</v>
      </c>
      <c r="F11" t="inlineStr">
        <is>
          <t>UPI</t>
        </is>
      </c>
      <c r="G11" t="inlineStr">
        <is>
          <t>Completed</t>
        </is>
      </c>
      <c r="H11" t="n">
        <v>3.7</v>
      </c>
    </row>
    <row r="12">
      <c r="A12" t="inlineStr">
        <is>
          <t>R011</t>
        </is>
      </c>
      <c r="B12" t="inlineStr">
        <is>
          <t>2026-09-01</t>
        </is>
      </c>
      <c r="C12" t="inlineStr">
        <is>
          <t>DHA</t>
        </is>
      </c>
      <c r="D12" t="inlineStr">
        <is>
          <t>DHA</t>
        </is>
      </c>
      <c r="E12" t="n">
        <v>478</v>
      </c>
      <c r="F12" t="inlineStr">
        <is>
          <t>UPI</t>
        </is>
      </c>
      <c r="G12" t="inlineStr">
        <is>
          <t>Completed</t>
        </is>
      </c>
      <c r="H12" t="n">
        <v>4.6</v>
      </c>
    </row>
    <row r="13">
      <c r="A13" t="inlineStr">
        <is>
          <t>R012</t>
        </is>
      </c>
      <c r="B13" t="inlineStr">
        <is>
          <t>2026-09-05</t>
        </is>
      </c>
      <c r="C13" t="inlineStr">
        <is>
          <t>Bahria Town</t>
        </is>
      </c>
      <c r="D13" t="inlineStr">
        <is>
          <t>Gulberg</t>
        </is>
      </c>
      <c r="E13" t="n">
        <v>508</v>
      </c>
      <c r="F13" t="inlineStr">
        <is>
          <t>Card</t>
        </is>
      </c>
      <c r="G13" t="inlineStr">
        <is>
          <t>Completed</t>
        </is>
      </c>
      <c r="H13" t="n">
        <v>4.8</v>
      </c>
    </row>
    <row r="14">
      <c r="A14" t="inlineStr">
        <is>
          <t>R013</t>
        </is>
      </c>
      <c r="B14" t="inlineStr">
        <is>
          <t>2026-09-02</t>
        </is>
      </c>
      <c r="C14" t="inlineStr">
        <is>
          <t>DHA</t>
        </is>
      </c>
      <c r="D14" t="inlineStr">
        <is>
          <t>Bahria Town</t>
        </is>
      </c>
      <c r="E14" t="n">
        <v>503</v>
      </c>
      <c r="F14" t="inlineStr">
        <is>
          <t>Cash</t>
        </is>
      </c>
      <c r="G14" t="inlineStr">
        <is>
          <t>Completed</t>
        </is>
      </c>
      <c r="H14" t="n">
        <v>4.2</v>
      </c>
    </row>
    <row r="15">
      <c r="A15" t="inlineStr">
        <is>
          <t>R014</t>
        </is>
      </c>
      <c r="B15" t="inlineStr">
        <is>
          <t>2026-09-03</t>
        </is>
      </c>
      <c r="C15" t="inlineStr">
        <is>
          <t>Johar Town</t>
        </is>
      </c>
      <c r="D15" t="inlineStr">
        <is>
          <t>Gulberg</t>
        </is>
      </c>
      <c r="E15" t="n">
        <v>449</v>
      </c>
      <c r="F15" t="inlineStr">
        <is>
          <t>Cash</t>
        </is>
      </c>
      <c r="G15" t="inlineStr">
        <is>
          <t>Completed</t>
        </is>
      </c>
      <c r="H15" t="n">
        <v>3.9</v>
      </c>
    </row>
    <row r="16">
      <c r="A16" t="inlineStr">
        <is>
          <t>R015</t>
        </is>
      </c>
      <c r="B16" t="inlineStr">
        <is>
          <t>2026-09-10</t>
        </is>
      </c>
      <c r="C16" t="inlineStr">
        <is>
          <t>DHA</t>
        </is>
      </c>
      <c r="D16" t="inlineStr">
        <is>
          <t>Bahria Town</t>
        </is>
      </c>
      <c r="E16" t="n">
        <v>414</v>
      </c>
      <c r="F16" t="inlineStr">
        <is>
          <t>UPI</t>
        </is>
      </c>
      <c r="G16" t="inlineStr">
        <is>
          <t>Completed</t>
        </is>
      </c>
      <c r="H16" t="n">
        <v>4.3</v>
      </c>
    </row>
    <row r="17">
      <c r="A17" t="inlineStr">
        <is>
          <t>R016</t>
        </is>
      </c>
      <c r="B17" t="inlineStr">
        <is>
          <t>2026-09-05</t>
        </is>
      </c>
      <c r="C17" t="inlineStr">
        <is>
          <t>DHA</t>
        </is>
      </c>
      <c r="D17" t="inlineStr">
        <is>
          <t>Bahria Town</t>
        </is>
      </c>
      <c r="E17" t="n">
        <v>516</v>
      </c>
      <c r="F17" t="inlineStr">
        <is>
          <t>Wallet</t>
        </is>
      </c>
      <c r="G17" t="inlineStr">
        <is>
          <t>Completed</t>
        </is>
      </c>
      <c r="H17" t="n">
        <v>3.8</v>
      </c>
    </row>
    <row r="18">
      <c r="A18" t="inlineStr">
        <is>
          <t>R017</t>
        </is>
      </c>
      <c r="B18" t="inlineStr">
        <is>
          <t>2026-09-07</t>
        </is>
      </c>
      <c r="C18" t="inlineStr">
        <is>
          <t>Gulberg</t>
        </is>
      </c>
      <c r="D18" t="inlineStr">
        <is>
          <t>Johar Town</t>
        </is>
      </c>
      <c r="E18" t="n">
        <v>470</v>
      </c>
      <c r="F18" t="inlineStr">
        <is>
          <t>Wallet</t>
        </is>
      </c>
      <c r="G18" t="inlineStr">
        <is>
          <t>Cancelled</t>
        </is>
      </c>
      <c r="H18" t="n">
        <v/>
      </c>
    </row>
    <row r="19">
      <c r="A19" t="inlineStr">
        <is>
          <t>R018</t>
        </is>
      </c>
      <c r="B19" t="inlineStr">
        <is>
          <t>2026-09-04</t>
        </is>
      </c>
      <c r="C19" t="inlineStr">
        <is>
          <t>Bahria Town</t>
        </is>
      </c>
      <c r="D19" t="inlineStr">
        <is>
          <t>Model Town</t>
        </is>
      </c>
      <c r="E19" t="n">
        <v>535</v>
      </c>
      <c r="F19" t="inlineStr">
        <is>
          <t>Cash</t>
        </is>
      </c>
      <c r="G19" t="inlineStr">
        <is>
          <t>Completed</t>
        </is>
      </c>
      <c r="H19" t="n">
        <v>3.7</v>
      </c>
    </row>
    <row r="20">
      <c r="A20" t="inlineStr">
        <is>
          <t>R019</t>
        </is>
      </c>
      <c r="B20" t="inlineStr">
        <is>
          <t>2026-09-01</t>
        </is>
      </c>
      <c r="C20" t="inlineStr">
        <is>
          <t>DHA</t>
        </is>
      </c>
      <c r="D20" t="inlineStr">
        <is>
          <t>Model Town</t>
        </is>
      </c>
      <c r="E20" t="n">
        <v>449</v>
      </c>
      <c r="F20" t="inlineStr">
        <is>
          <t>Card</t>
        </is>
      </c>
      <c r="G20" t="inlineStr">
        <is>
          <t>Completed</t>
        </is>
      </c>
      <c r="H20" t="n">
        <v>3.5</v>
      </c>
    </row>
    <row r="21">
      <c r="A21" t="inlineStr">
        <is>
          <t>R020</t>
        </is>
      </c>
      <c r="B21" t="inlineStr">
        <is>
          <t>2026-09-09</t>
        </is>
      </c>
      <c r="C21" t="inlineStr">
        <is>
          <t>Gulberg</t>
        </is>
      </c>
      <c r="D21" t="inlineStr">
        <is>
          <t>DHA</t>
        </is>
      </c>
      <c r="E21" t="n">
        <v>446</v>
      </c>
      <c r="F21" t="inlineStr">
        <is>
          <t>Wallet</t>
        </is>
      </c>
      <c r="G21" t="inlineStr">
        <is>
          <t>Completed</t>
        </is>
      </c>
      <c r="H21" t="n">
        <v>4</v>
      </c>
    </row>
    <row r="22">
      <c r="A22" t="inlineStr">
        <is>
          <t>R021</t>
        </is>
      </c>
      <c r="B22" t="inlineStr">
        <is>
          <t>2026-09-06</t>
        </is>
      </c>
      <c r="C22" t="inlineStr">
        <is>
          <t>DHA</t>
        </is>
      </c>
      <c r="D22" t="inlineStr">
        <is>
          <t>DHA</t>
        </is>
      </c>
      <c r="E22" t="n">
        <v>418</v>
      </c>
      <c r="F22" t="inlineStr">
        <is>
          <t>UPI</t>
        </is>
      </c>
      <c r="G22" t="inlineStr">
        <is>
          <t>Completed</t>
        </is>
      </c>
      <c r="H22" t="n">
        <v>3.9</v>
      </c>
    </row>
    <row r="23">
      <c r="A23" t="inlineStr">
        <is>
          <t>R022</t>
        </is>
      </c>
      <c r="B23" t="inlineStr">
        <is>
          <t>2026-09-03</t>
        </is>
      </c>
      <c r="C23" t="inlineStr">
        <is>
          <t>Gulberg</t>
        </is>
      </c>
      <c r="D23" t="inlineStr">
        <is>
          <t>DHA</t>
        </is>
      </c>
      <c r="E23" t="n">
        <v>417</v>
      </c>
      <c r="F23" t="inlineStr">
        <is>
          <t>Cash</t>
        </is>
      </c>
      <c r="G23" t="inlineStr">
        <is>
          <t>Cancelled</t>
        </is>
      </c>
      <c r="H23" t="n">
        <v/>
      </c>
    </row>
    <row r="24">
      <c r="A24" t="inlineStr">
        <is>
          <t>R023</t>
        </is>
      </c>
      <c r="B24" t="inlineStr">
        <is>
          <t>2026-09-02</t>
        </is>
      </c>
      <c r="C24" t="inlineStr">
        <is>
          <t>Gulberg</t>
        </is>
      </c>
      <c r="D24" t="inlineStr">
        <is>
          <t>Bahria Town</t>
        </is>
      </c>
      <c r="E24" t="n">
        <v>563</v>
      </c>
      <c r="F24" t="inlineStr">
        <is>
          <t>Card</t>
        </is>
      </c>
      <c r="G24" t="inlineStr">
        <is>
          <t>Completed</t>
        </is>
      </c>
      <c r="H24" t="n">
        <v>4.3</v>
      </c>
    </row>
    <row r="25">
      <c r="A25" t="inlineStr">
        <is>
          <t>R024</t>
        </is>
      </c>
      <c r="B25" t="inlineStr">
        <is>
          <t>2026-09-06</t>
        </is>
      </c>
      <c r="C25" t="inlineStr">
        <is>
          <t>DHA</t>
        </is>
      </c>
      <c r="D25" t="inlineStr">
        <is>
          <t>Johar Town</t>
        </is>
      </c>
      <c r="E25" t="n">
        <v>526</v>
      </c>
      <c r="F25" t="inlineStr">
        <is>
          <t>Cash</t>
        </is>
      </c>
      <c r="G25" t="inlineStr">
        <is>
          <t>Completed</t>
        </is>
      </c>
      <c r="H25" t="n">
        <v>4.1</v>
      </c>
    </row>
    <row r="26">
      <c r="A26" t="inlineStr">
        <is>
          <t>R025</t>
        </is>
      </c>
      <c r="B26" t="inlineStr">
        <is>
          <t>2026-09-06</t>
        </is>
      </c>
      <c r="C26" t="inlineStr">
        <is>
          <t>Gulberg</t>
        </is>
      </c>
      <c r="D26" t="inlineStr">
        <is>
          <t>Johar Town</t>
        </is>
      </c>
      <c r="E26" t="n">
        <v>541</v>
      </c>
      <c r="F26" t="inlineStr">
        <is>
          <t>UPI</t>
        </is>
      </c>
      <c r="G26" t="inlineStr">
        <is>
          <t>Cancelled</t>
        </is>
      </c>
      <c r="H26" t="n">
        <v/>
      </c>
    </row>
    <row r="27">
      <c r="A27" t="inlineStr">
        <is>
          <t>R026</t>
        </is>
      </c>
      <c r="B27" t="inlineStr">
        <is>
          <t>2026-09-09</t>
        </is>
      </c>
      <c r="C27" t="inlineStr">
        <is>
          <t>Gulberg</t>
        </is>
      </c>
      <c r="D27" t="inlineStr">
        <is>
          <t>Bahria Town</t>
        </is>
      </c>
      <c r="E27" t="n">
        <v>381</v>
      </c>
      <c r="F27" t="inlineStr">
        <is>
          <t>Cash</t>
        </is>
      </c>
      <c r="G27" t="inlineStr">
        <is>
          <t>Cancelled</t>
        </is>
      </c>
      <c r="H27" t="n">
        <v/>
      </c>
    </row>
    <row r="28">
      <c r="A28" t="inlineStr">
        <is>
          <t>R027</t>
        </is>
      </c>
      <c r="B28" t="inlineStr">
        <is>
          <t>2026-09-04</t>
        </is>
      </c>
      <c r="C28" t="inlineStr">
        <is>
          <t>DHA</t>
        </is>
      </c>
      <c r="D28" t="inlineStr">
        <is>
          <t>Model Town</t>
        </is>
      </c>
      <c r="E28" t="n">
        <v>347</v>
      </c>
      <c r="F28" t="inlineStr">
        <is>
          <t>Card</t>
        </is>
      </c>
      <c r="G28" t="inlineStr">
        <is>
          <t>Completed</t>
        </is>
      </c>
      <c r="H28" t="n">
        <v>4.9</v>
      </c>
    </row>
    <row r="29">
      <c r="A29" t="inlineStr">
        <is>
          <t>R028</t>
        </is>
      </c>
      <c r="B29" t="inlineStr">
        <is>
          <t>2026-09-07</t>
        </is>
      </c>
      <c r="C29" t="inlineStr">
        <is>
          <t>Bahria Town</t>
        </is>
      </c>
      <c r="D29" t="inlineStr">
        <is>
          <t>DHA</t>
        </is>
      </c>
      <c r="E29" t="n">
        <v>393</v>
      </c>
      <c r="F29" t="inlineStr">
        <is>
          <t>Cash</t>
        </is>
      </c>
      <c r="G29" t="inlineStr">
        <is>
          <t>Completed</t>
        </is>
      </c>
      <c r="H29" t="n">
        <v>4.6</v>
      </c>
    </row>
    <row r="30">
      <c r="A30" t="inlineStr">
        <is>
          <t>R029</t>
        </is>
      </c>
      <c r="B30" t="inlineStr">
        <is>
          <t>2026-09-10</t>
        </is>
      </c>
      <c r="C30" t="inlineStr">
        <is>
          <t>DHA</t>
        </is>
      </c>
      <c r="D30" t="inlineStr">
        <is>
          <t>Johar Town</t>
        </is>
      </c>
      <c r="E30" t="n">
        <v>421</v>
      </c>
      <c r="F30" t="inlineStr">
        <is>
          <t>Wallet</t>
        </is>
      </c>
      <c r="G30" t="inlineStr">
        <is>
          <t>Completed</t>
        </is>
      </c>
      <c r="H30" t="n">
        <v>3.9</v>
      </c>
    </row>
    <row r="31">
      <c r="A31" t="inlineStr">
        <is>
          <t>R030</t>
        </is>
      </c>
      <c r="B31" t="inlineStr">
        <is>
          <t>2026-09-05</t>
        </is>
      </c>
      <c r="C31" t="inlineStr">
        <is>
          <t>Bahria Town</t>
        </is>
      </c>
      <c r="D31" t="inlineStr">
        <is>
          <t>Model Town</t>
        </is>
      </c>
      <c r="E31" t="n">
        <v>457</v>
      </c>
      <c r="F31" t="inlineStr">
        <is>
          <t>UPI</t>
        </is>
      </c>
      <c r="G31" t="inlineStr">
        <is>
          <t>Completed</t>
        </is>
      </c>
      <c r="H31" t="n">
        <v>3.9</v>
      </c>
    </row>
    <row r="32">
      <c r="A32" t="inlineStr">
        <is>
          <t>R031</t>
        </is>
      </c>
      <c r="B32" t="inlineStr">
        <is>
          <t>2026-09-03</t>
        </is>
      </c>
      <c r="C32" t="inlineStr">
        <is>
          <t>Johar Town</t>
        </is>
      </c>
      <c r="D32" t="inlineStr">
        <is>
          <t>DHA</t>
        </is>
      </c>
      <c r="E32" t="n">
        <v>442</v>
      </c>
      <c r="F32" t="inlineStr">
        <is>
          <t>Cash</t>
        </is>
      </c>
      <c r="G32" t="inlineStr">
        <is>
          <t>Completed</t>
        </is>
      </c>
      <c r="H32" t="n">
        <v>3.5</v>
      </c>
    </row>
    <row r="33">
      <c r="A33" t="inlineStr">
        <is>
          <t>R032</t>
        </is>
      </c>
      <c r="B33" t="inlineStr">
        <is>
          <t>2026-09-03</t>
        </is>
      </c>
      <c r="C33" t="inlineStr">
        <is>
          <t>Bahria Town</t>
        </is>
      </c>
      <c r="D33" t="inlineStr">
        <is>
          <t>Gulberg</t>
        </is>
      </c>
      <c r="E33" t="n">
        <v>504</v>
      </c>
      <c r="F33" t="inlineStr">
        <is>
          <t>UPI</t>
        </is>
      </c>
      <c r="G33" t="inlineStr">
        <is>
          <t>Completed</t>
        </is>
      </c>
      <c r="H33" t="n">
        <v>4.3</v>
      </c>
    </row>
    <row r="34">
      <c r="A34" t="inlineStr">
        <is>
          <t>R033</t>
        </is>
      </c>
      <c r="B34" t="inlineStr">
        <is>
          <t>2026-09-09</t>
        </is>
      </c>
      <c r="C34" t="inlineStr">
        <is>
          <t>DHA</t>
        </is>
      </c>
      <c r="D34" t="inlineStr">
        <is>
          <t>Johar Town</t>
        </is>
      </c>
      <c r="E34" t="n">
        <v>535</v>
      </c>
      <c r="F34" t="inlineStr">
        <is>
          <t>UPI</t>
        </is>
      </c>
      <c r="G34" t="inlineStr">
        <is>
          <t>Completed</t>
        </is>
      </c>
      <c r="H34" t="n">
        <v>4.5</v>
      </c>
    </row>
    <row r="35">
      <c r="A35" t="inlineStr">
        <is>
          <t>R034</t>
        </is>
      </c>
      <c r="B35" t="inlineStr">
        <is>
          <t>2026-09-01</t>
        </is>
      </c>
      <c r="C35" t="inlineStr">
        <is>
          <t>Gulberg</t>
        </is>
      </c>
      <c r="D35" t="inlineStr">
        <is>
          <t>Johar Town</t>
        </is>
      </c>
      <c r="E35" t="n">
        <v>337</v>
      </c>
      <c r="F35" t="inlineStr">
        <is>
          <t>Cash</t>
        </is>
      </c>
      <c r="G35" t="inlineStr">
        <is>
          <t>Completed</t>
        </is>
      </c>
      <c r="H35" t="n">
        <v>4.5</v>
      </c>
    </row>
    <row r="36">
      <c r="A36" t="inlineStr">
        <is>
          <t>R035</t>
        </is>
      </c>
      <c r="B36" t="inlineStr">
        <is>
          <t>2026-09-06</t>
        </is>
      </c>
      <c r="C36" t="inlineStr">
        <is>
          <t>Bahria Town</t>
        </is>
      </c>
      <c r="D36" t="inlineStr">
        <is>
          <t>Model Town</t>
        </is>
      </c>
      <c r="E36" t="n">
        <v>540</v>
      </c>
      <c r="F36" t="inlineStr">
        <is>
          <t>Card</t>
        </is>
      </c>
      <c r="G36" t="inlineStr">
        <is>
          <t>Cancelled</t>
        </is>
      </c>
      <c r="H36" t="n">
        <v/>
      </c>
    </row>
    <row r="37">
      <c r="A37" t="inlineStr">
        <is>
          <t>R036</t>
        </is>
      </c>
      <c r="B37" t="inlineStr">
        <is>
          <t>2026-09-01</t>
        </is>
      </c>
      <c r="C37" t="inlineStr">
        <is>
          <t>DHA</t>
        </is>
      </c>
      <c r="D37" t="inlineStr">
        <is>
          <t>Bahria Town</t>
        </is>
      </c>
      <c r="E37" t="n">
        <v>473</v>
      </c>
      <c r="F37" t="inlineStr">
        <is>
          <t>UPI</t>
        </is>
      </c>
      <c r="G37" t="inlineStr">
        <is>
          <t>Completed</t>
        </is>
      </c>
      <c r="H37" t="n">
        <v>4.4</v>
      </c>
    </row>
    <row r="38">
      <c r="A38" t="inlineStr">
        <is>
          <t>R037</t>
        </is>
      </c>
      <c r="B38" t="inlineStr">
        <is>
          <t>2026-09-01</t>
        </is>
      </c>
      <c r="C38" t="inlineStr">
        <is>
          <t>Bahria Town</t>
        </is>
      </c>
      <c r="D38" t="inlineStr">
        <is>
          <t>Bahria Town</t>
        </is>
      </c>
      <c r="E38" t="n">
        <v>452</v>
      </c>
      <c r="F38" t="inlineStr">
        <is>
          <t>Cash</t>
        </is>
      </c>
      <c r="G38" t="inlineStr">
        <is>
          <t>Completed</t>
        </is>
      </c>
      <c r="H38" t="n">
        <v>4.9</v>
      </c>
    </row>
    <row r="39">
      <c r="A39" t="inlineStr">
        <is>
          <t>R038</t>
        </is>
      </c>
      <c r="B39" t="inlineStr">
        <is>
          <t>2026-09-05</t>
        </is>
      </c>
      <c r="C39" t="inlineStr">
        <is>
          <t>Model Town</t>
        </is>
      </c>
      <c r="D39" t="inlineStr">
        <is>
          <t>Johar Town</t>
        </is>
      </c>
      <c r="E39" t="n">
        <v>470</v>
      </c>
      <c r="F39" t="inlineStr">
        <is>
          <t>Cash</t>
        </is>
      </c>
      <c r="G39" t="inlineStr">
        <is>
          <t>Cancelled</t>
        </is>
      </c>
      <c r="H39" t="n">
        <v/>
      </c>
    </row>
    <row r="40">
      <c r="A40" t="inlineStr">
        <is>
          <t>R039</t>
        </is>
      </c>
      <c r="B40" t="inlineStr">
        <is>
          <t>2026-09-05</t>
        </is>
      </c>
      <c r="C40" t="inlineStr">
        <is>
          <t>DHA</t>
        </is>
      </c>
      <c r="D40" t="inlineStr">
        <is>
          <t>DHA</t>
        </is>
      </c>
      <c r="E40" t="n">
        <v>441</v>
      </c>
      <c r="F40" t="inlineStr">
        <is>
          <t>UPI</t>
        </is>
      </c>
      <c r="G40" t="inlineStr">
        <is>
          <t>Completed</t>
        </is>
      </c>
      <c r="H40" t="n">
        <v>4.9</v>
      </c>
    </row>
    <row r="41">
      <c r="A41" t="inlineStr">
        <is>
          <t>R040</t>
        </is>
      </c>
      <c r="B41" t="inlineStr">
        <is>
          <t>2026-09-08</t>
        </is>
      </c>
      <c r="C41" t="inlineStr">
        <is>
          <t>DHA</t>
        </is>
      </c>
      <c r="D41" t="inlineStr">
        <is>
          <t>Gulberg</t>
        </is>
      </c>
      <c r="E41" t="n">
        <v>295</v>
      </c>
      <c r="F41" t="inlineStr">
        <is>
          <t>Cash</t>
        </is>
      </c>
      <c r="G41" t="inlineStr">
        <is>
          <t>Completed</t>
        </is>
      </c>
      <c r="H41" t="n">
        <v>5</v>
      </c>
    </row>
    <row r="42">
      <c r="A42" t="inlineStr">
        <is>
          <t>R041</t>
        </is>
      </c>
      <c r="B42" t="inlineStr">
        <is>
          <t>2026-09-10</t>
        </is>
      </c>
      <c r="C42" t="inlineStr">
        <is>
          <t>Johar Town</t>
        </is>
      </c>
      <c r="D42" t="inlineStr">
        <is>
          <t>DHA</t>
        </is>
      </c>
      <c r="E42" t="n">
        <v>461</v>
      </c>
      <c r="F42" t="inlineStr">
        <is>
          <t>Cash</t>
        </is>
      </c>
      <c r="G42" t="inlineStr">
        <is>
          <t>Completed</t>
        </is>
      </c>
      <c r="H42" t="n">
        <v>4.3</v>
      </c>
    </row>
    <row r="43">
      <c r="A43" t="inlineStr">
        <is>
          <t>R042</t>
        </is>
      </c>
      <c r="B43" t="inlineStr">
        <is>
          <t>2026-09-10</t>
        </is>
      </c>
      <c r="C43" t="inlineStr">
        <is>
          <t>Johar Town</t>
        </is>
      </c>
      <c r="D43" t="inlineStr">
        <is>
          <t>DHA</t>
        </is>
      </c>
      <c r="E43" t="n">
        <v>347</v>
      </c>
      <c r="F43" t="inlineStr">
        <is>
          <t>Cash</t>
        </is>
      </c>
      <c r="G43" t="inlineStr">
        <is>
          <t>Completed</t>
        </is>
      </c>
      <c r="H43" t="n">
        <v>3.6</v>
      </c>
    </row>
    <row r="44">
      <c r="A44" t="inlineStr">
        <is>
          <t>R043</t>
        </is>
      </c>
      <c r="B44" t="inlineStr">
        <is>
          <t>2026-09-04</t>
        </is>
      </c>
      <c r="C44" t="inlineStr">
        <is>
          <t>Johar Town</t>
        </is>
      </c>
      <c r="D44" t="inlineStr">
        <is>
          <t>DHA</t>
        </is>
      </c>
      <c r="E44" t="n">
        <v>364</v>
      </c>
      <c r="F44" t="inlineStr">
        <is>
          <t>Cash</t>
        </is>
      </c>
      <c r="G44" t="inlineStr">
        <is>
          <t>Completed</t>
        </is>
      </c>
      <c r="H44" t="n">
        <v>4.8</v>
      </c>
    </row>
    <row r="45">
      <c r="A45" t="inlineStr">
        <is>
          <t>R044</t>
        </is>
      </c>
      <c r="B45" t="inlineStr">
        <is>
          <t>2026-09-02</t>
        </is>
      </c>
      <c r="C45" t="inlineStr">
        <is>
          <t>DHA</t>
        </is>
      </c>
      <c r="D45" t="inlineStr">
        <is>
          <t>Model Town</t>
        </is>
      </c>
      <c r="E45" t="n">
        <v>407</v>
      </c>
      <c r="F45" t="inlineStr">
        <is>
          <t>Cash</t>
        </is>
      </c>
      <c r="G45" t="inlineStr">
        <is>
          <t>Completed</t>
        </is>
      </c>
      <c r="H45" t="n">
        <v>4.3</v>
      </c>
    </row>
    <row r="46">
      <c r="A46" t="inlineStr">
        <is>
          <t>R045</t>
        </is>
      </c>
      <c r="B46" t="inlineStr">
        <is>
          <t>2026-09-10</t>
        </is>
      </c>
      <c r="C46" t="inlineStr">
        <is>
          <t>Johar Town</t>
        </is>
      </c>
      <c r="D46" t="inlineStr">
        <is>
          <t>DHA</t>
        </is>
      </c>
      <c r="E46" t="n">
        <v>372</v>
      </c>
      <c r="F46" t="inlineStr">
        <is>
          <t>Card</t>
        </is>
      </c>
      <c r="G46" t="inlineStr">
        <is>
          <t>Completed</t>
        </is>
      </c>
      <c r="H46" t="n">
        <v>3.7</v>
      </c>
    </row>
    <row r="47">
      <c r="A47" t="inlineStr">
        <is>
          <t>R046</t>
        </is>
      </c>
      <c r="B47" t="inlineStr">
        <is>
          <t>2026-09-05</t>
        </is>
      </c>
      <c r="C47" t="inlineStr">
        <is>
          <t>DHA</t>
        </is>
      </c>
      <c r="D47" t="inlineStr">
        <is>
          <t>Johar Town</t>
        </is>
      </c>
      <c r="E47" t="n">
        <v>528</v>
      </c>
      <c r="F47" t="inlineStr">
        <is>
          <t>Cash</t>
        </is>
      </c>
      <c r="G47" t="inlineStr">
        <is>
          <t>Completed</t>
        </is>
      </c>
      <c r="H47" t="n">
        <v>3.6</v>
      </c>
    </row>
    <row r="48">
      <c r="A48" t="inlineStr">
        <is>
          <t>R047</t>
        </is>
      </c>
      <c r="B48" t="inlineStr">
        <is>
          <t>2026-09-04</t>
        </is>
      </c>
      <c r="C48" t="inlineStr">
        <is>
          <t>Gulberg</t>
        </is>
      </c>
      <c r="D48" t="inlineStr">
        <is>
          <t>Model Town</t>
        </is>
      </c>
      <c r="E48" t="n">
        <v>217</v>
      </c>
      <c r="F48" t="inlineStr">
        <is>
          <t>Cash</t>
        </is>
      </c>
      <c r="G48" t="inlineStr">
        <is>
          <t>Completed</t>
        </is>
      </c>
      <c r="H48" t="n">
        <v>4.7</v>
      </c>
    </row>
    <row r="49">
      <c r="A49" t="inlineStr">
        <is>
          <t>R048</t>
        </is>
      </c>
      <c r="B49" t="inlineStr">
        <is>
          <t>2026-09-10</t>
        </is>
      </c>
      <c r="C49" t="inlineStr">
        <is>
          <t>DHA</t>
        </is>
      </c>
      <c r="D49" t="inlineStr">
        <is>
          <t>Bahria Town</t>
        </is>
      </c>
      <c r="E49" t="n">
        <v>438</v>
      </c>
      <c r="F49" t="inlineStr">
        <is>
          <t>Card</t>
        </is>
      </c>
      <c r="G49" t="inlineStr">
        <is>
          <t>Completed</t>
        </is>
      </c>
      <c r="H49" t="n">
        <v>3.6</v>
      </c>
    </row>
    <row r="50">
      <c r="A50" t="inlineStr">
        <is>
          <t>R049</t>
        </is>
      </c>
      <c r="B50" t="inlineStr">
        <is>
          <t>2026-09-05</t>
        </is>
      </c>
      <c r="C50" t="inlineStr">
        <is>
          <t>DHA</t>
        </is>
      </c>
      <c r="D50" t="inlineStr">
        <is>
          <t>Gulberg</t>
        </is>
      </c>
      <c r="E50" t="n">
        <v>451</v>
      </c>
      <c r="F50" t="inlineStr">
        <is>
          <t>UPI</t>
        </is>
      </c>
      <c r="G50" t="inlineStr">
        <is>
          <t>Completed</t>
        </is>
      </c>
      <c r="H50" t="n">
        <v>4.6</v>
      </c>
    </row>
    <row r="51">
      <c r="A51" t="inlineStr">
        <is>
          <t>R050</t>
        </is>
      </c>
      <c r="B51" t="inlineStr">
        <is>
          <t>2026-09-05</t>
        </is>
      </c>
      <c r="C51" t="inlineStr">
        <is>
          <t>Model Town</t>
        </is>
      </c>
      <c r="D51" t="inlineStr">
        <is>
          <t>Bahria Town</t>
        </is>
      </c>
      <c r="E51" t="n">
        <v>258</v>
      </c>
      <c r="F51" t="inlineStr">
        <is>
          <t>Card</t>
        </is>
      </c>
      <c r="G51" t="inlineStr">
        <is>
          <t>Completed</t>
        </is>
      </c>
      <c r="H51" t="n">
        <v>4.3</v>
      </c>
    </row>
    <row r="52">
      <c r="A52" t="inlineStr">
        <is>
          <t>R051</t>
        </is>
      </c>
      <c r="B52" t="inlineStr">
        <is>
          <t>2026-09-07</t>
        </is>
      </c>
      <c r="C52" t="inlineStr">
        <is>
          <t>DHA</t>
        </is>
      </c>
      <c r="D52" t="inlineStr">
        <is>
          <t>Gulberg</t>
        </is>
      </c>
      <c r="E52" t="n">
        <v>396</v>
      </c>
      <c r="F52" t="inlineStr">
        <is>
          <t>Card</t>
        </is>
      </c>
      <c r="G52" t="inlineStr">
        <is>
          <t>Completed</t>
        </is>
      </c>
      <c r="H52" t="n">
        <v>3.6</v>
      </c>
    </row>
    <row r="53">
      <c r="A53" t="inlineStr">
        <is>
          <t>R052</t>
        </is>
      </c>
      <c r="B53" t="inlineStr">
        <is>
          <t>2026-09-07</t>
        </is>
      </c>
      <c r="C53" t="inlineStr">
        <is>
          <t>Gulberg</t>
        </is>
      </c>
      <c r="D53" t="inlineStr">
        <is>
          <t>Bahria Town</t>
        </is>
      </c>
      <c r="E53" t="n">
        <v>607</v>
      </c>
      <c r="F53" t="inlineStr">
        <is>
          <t>Card</t>
        </is>
      </c>
      <c r="G53" t="inlineStr">
        <is>
          <t>Completed</t>
        </is>
      </c>
      <c r="H53" t="n">
        <v>4.4</v>
      </c>
    </row>
    <row r="54">
      <c r="A54" t="inlineStr">
        <is>
          <t>R053</t>
        </is>
      </c>
      <c r="B54" t="inlineStr">
        <is>
          <t>2026-09-02</t>
        </is>
      </c>
      <c r="C54" t="inlineStr">
        <is>
          <t>DHA</t>
        </is>
      </c>
      <c r="D54" t="inlineStr">
        <is>
          <t>Gulberg</t>
        </is>
      </c>
      <c r="E54" t="n">
        <v>536</v>
      </c>
      <c r="F54" t="inlineStr">
        <is>
          <t>Cash</t>
        </is>
      </c>
      <c r="G54" t="inlineStr">
        <is>
          <t>Completed</t>
        </is>
      </c>
      <c r="H54" t="n">
        <v>4.5</v>
      </c>
    </row>
    <row r="55">
      <c r="A55" t="inlineStr">
        <is>
          <t>R054</t>
        </is>
      </c>
      <c r="B55" t="inlineStr">
        <is>
          <t>2026-09-08</t>
        </is>
      </c>
      <c r="C55" t="inlineStr">
        <is>
          <t>Bahria Town</t>
        </is>
      </c>
      <c r="D55" t="inlineStr">
        <is>
          <t>Gulberg</t>
        </is>
      </c>
      <c r="E55" t="n">
        <v>421</v>
      </c>
      <c r="F55" t="inlineStr">
        <is>
          <t>Wallet</t>
        </is>
      </c>
      <c r="G55" t="inlineStr">
        <is>
          <t>Completed</t>
        </is>
      </c>
      <c r="H55" t="n">
        <v>4.4</v>
      </c>
    </row>
    <row r="56">
      <c r="A56" t="inlineStr">
        <is>
          <t>R055</t>
        </is>
      </c>
      <c r="B56" t="inlineStr">
        <is>
          <t>2026-09-08</t>
        </is>
      </c>
      <c r="C56" t="inlineStr">
        <is>
          <t>Model Town</t>
        </is>
      </c>
      <c r="D56" t="inlineStr">
        <is>
          <t>Model Town</t>
        </is>
      </c>
      <c r="E56" t="n">
        <v>633</v>
      </c>
      <c r="F56" t="inlineStr">
        <is>
          <t>Card</t>
        </is>
      </c>
      <c r="G56" t="inlineStr">
        <is>
          <t>Completed</t>
        </is>
      </c>
      <c r="H56" t="n">
        <v>4.9</v>
      </c>
    </row>
    <row r="57">
      <c r="A57" t="inlineStr">
        <is>
          <t>R056</t>
        </is>
      </c>
      <c r="B57" t="inlineStr">
        <is>
          <t>2026-09-01</t>
        </is>
      </c>
      <c r="C57" t="inlineStr">
        <is>
          <t>Model Town</t>
        </is>
      </c>
      <c r="D57" t="inlineStr">
        <is>
          <t>Model Town</t>
        </is>
      </c>
      <c r="E57" t="n">
        <v>224</v>
      </c>
      <c r="F57" t="inlineStr">
        <is>
          <t>Cash</t>
        </is>
      </c>
      <c r="G57" t="inlineStr">
        <is>
          <t>Completed</t>
        </is>
      </c>
      <c r="H57" t="n">
        <v>3.6</v>
      </c>
    </row>
    <row r="58">
      <c r="A58" t="inlineStr">
        <is>
          <t>R057</t>
        </is>
      </c>
      <c r="B58" t="inlineStr">
        <is>
          <t>2026-09-02</t>
        </is>
      </c>
      <c r="C58" t="inlineStr">
        <is>
          <t>DHA</t>
        </is>
      </c>
      <c r="D58" t="inlineStr">
        <is>
          <t>Gulberg</t>
        </is>
      </c>
      <c r="E58" t="n">
        <v>399</v>
      </c>
      <c r="F58" t="inlineStr">
        <is>
          <t>Cash</t>
        </is>
      </c>
      <c r="G58" t="inlineStr">
        <is>
          <t>Completed</t>
        </is>
      </c>
      <c r="H58" t="n">
        <v>4.8</v>
      </c>
    </row>
    <row r="59">
      <c r="A59" t="inlineStr">
        <is>
          <t>R058</t>
        </is>
      </c>
      <c r="B59" t="inlineStr">
        <is>
          <t>2026-09-02</t>
        </is>
      </c>
      <c r="C59" t="inlineStr">
        <is>
          <t>DHA</t>
        </is>
      </c>
      <c r="D59" t="inlineStr">
        <is>
          <t>Johar Town</t>
        </is>
      </c>
      <c r="E59" t="n">
        <v>370</v>
      </c>
      <c r="F59" t="inlineStr">
        <is>
          <t>Wallet</t>
        </is>
      </c>
      <c r="G59" t="inlineStr">
        <is>
          <t>Completed</t>
        </is>
      </c>
      <c r="H59" t="n">
        <v>4</v>
      </c>
    </row>
    <row r="60">
      <c r="A60" t="inlineStr">
        <is>
          <t>R059</t>
        </is>
      </c>
      <c r="B60" t="inlineStr">
        <is>
          <t>2026-09-08</t>
        </is>
      </c>
      <c r="C60" t="inlineStr">
        <is>
          <t>Johar Town</t>
        </is>
      </c>
      <c r="D60" t="inlineStr">
        <is>
          <t>Bahria Town</t>
        </is>
      </c>
      <c r="E60" t="n">
        <v>198</v>
      </c>
      <c r="F60" t="inlineStr">
        <is>
          <t>Card</t>
        </is>
      </c>
      <c r="G60" t="inlineStr">
        <is>
          <t>Cancelled</t>
        </is>
      </c>
      <c r="H60" t="n">
        <v/>
      </c>
    </row>
    <row r="61">
      <c r="A61" t="inlineStr">
        <is>
          <t>R060</t>
        </is>
      </c>
      <c r="B61" t="inlineStr">
        <is>
          <t>2026-09-03</t>
        </is>
      </c>
      <c r="C61" t="inlineStr">
        <is>
          <t>Bahria Town</t>
        </is>
      </c>
      <c r="D61" t="inlineStr">
        <is>
          <t>Johar Town</t>
        </is>
      </c>
      <c r="E61" t="n">
        <v>558</v>
      </c>
      <c r="F61" t="inlineStr">
        <is>
          <t>Cash</t>
        </is>
      </c>
      <c r="G61" t="inlineStr">
        <is>
          <t>Completed</t>
        </is>
      </c>
      <c r="H61" t="n">
        <v>4.7</v>
      </c>
    </row>
    <row r="62">
      <c r="A62" t="inlineStr">
        <is>
          <t>R061</t>
        </is>
      </c>
      <c r="B62" t="inlineStr">
        <is>
          <t>2026-09-05</t>
        </is>
      </c>
      <c r="C62" t="inlineStr">
        <is>
          <t>DHA</t>
        </is>
      </c>
      <c r="D62" t="inlineStr">
        <is>
          <t>Bahria Town</t>
        </is>
      </c>
      <c r="E62" t="n">
        <v>357</v>
      </c>
      <c r="F62" t="inlineStr">
        <is>
          <t>Card</t>
        </is>
      </c>
      <c r="G62" t="inlineStr">
        <is>
          <t>Completed</t>
        </is>
      </c>
      <c r="H62" t="n">
        <v>4.3</v>
      </c>
    </row>
    <row r="63">
      <c r="A63" t="inlineStr">
        <is>
          <t>R062</t>
        </is>
      </c>
      <c r="B63" t="inlineStr">
        <is>
          <t>2026-09-09</t>
        </is>
      </c>
      <c r="C63" t="inlineStr">
        <is>
          <t>Gulberg</t>
        </is>
      </c>
      <c r="D63" t="inlineStr">
        <is>
          <t>Model Town</t>
        </is>
      </c>
      <c r="E63" t="n">
        <v>285</v>
      </c>
      <c r="F63" t="inlineStr">
        <is>
          <t>Wallet</t>
        </is>
      </c>
      <c r="G63" t="inlineStr">
        <is>
          <t>Completed</t>
        </is>
      </c>
      <c r="H63" t="n">
        <v>3.6</v>
      </c>
    </row>
    <row r="64">
      <c r="A64" t="inlineStr">
        <is>
          <t>R063</t>
        </is>
      </c>
      <c r="B64" t="inlineStr">
        <is>
          <t>2026-09-03</t>
        </is>
      </c>
      <c r="C64" t="inlineStr">
        <is>
          <t>DHA</t>
        </is>
      </c>
      <c r="D64" t="inlineStr">
        <is>
          <t>Johar Town</t>
        </is>
      </c>
      <c r="E64" t="n">
        <v>429</v>
      </c>
      <c r="F64" t="inlineStr">
        <is>
          <t>Card</t>
        </is>
      </c>
      <c r="G64" t="inlineStr">
        <is>
          <t>Cancelled</t>
        </is>
      </c>
      <c r="H64" t="n">
        <v/>
      </c>
    </row>
    <row r="65">
      <c r="A65" t="inlineStr">
        <is>
          <t>R064</t>
        </is>
      </c>
      <c r="B65" t="inlineStr">
        <is>
          <t>2026-09-05</t>
        </is>
      </c>
      <c r="C65" t="inlineStr">
        <is>
          <t>DHA</t>
        </is>
      </c>
      <c r="D65" t="inlineStr">
        <is>
          <t>Johar Town</t>
        </is>
      </c>
      <c r="E65" t="n">
        <v>479</v>
      </c>
      <c r="F65" t="inlineStr">
        <is>
          <t>UPI</t>
        </is>
      </c>
      <c r="G65" t="inlineStr">
        <is>
          <t>Completed</t>
        </is>
      </c>
      <c r="H65" t="n">
        <v>4.5</v>
      </c>
    </row>
    <row r="66">
      <c r="A66" t="inlineStr">
        <is>
          <t>R065</t>
        </is>
      </c>
      <c r="B66" t="inlineStr">
        <is>
          <t>2026-09-07</t>
        </is>
      </c>
      <c r="C66" t="inlineStr">
        <is>
          <t>Johar Town</t>
        </is>
      </c>
      <c r="D66" t="inlineStr">
        <is>
          <t>Bahria Town</t>
        </is>
      </c>
      <c r="E66" t="n">
        <v>601</v>
      </c>
      <c r="F66" t="inlineStr">
        <is>
          <t>Wallet</t>
        </is>
      </c>
      <c r="G66" t="inlineStr">
        <is>
          <t>Cancelled</t>
        </is>
      </c>
      <c r="H66" t="n">
        <v/>
      </c>
    </row>
    <row r="67">
      <c r="A67" t="inlineStr">
        <is>
          <t>R066</t>
        </is>
      </c>
      <c r="B67" t="inlineStr">
        <is>
          <t>2026-09-09</t>
        </is>
      </c>
      <c r="C67" t="inlineStr">
        <is>
          <t>Johar Town</t>
        </is>
      </c>
      <c r="D67" t="inlineStr">
        <is>
          <t>Johar Town</t>
        </is>
      </c>
      <c r="E67" t="n">
        <v>460</v>
      </c>
      <c r="F67" t="inlineStr">
        <is>
          <t>UPI</t>
        </is>
      </c>
      <c r="G67" t="inlineStr">
        <is>
          <t>Cancelled</t>
        </is>
      </c>
      <c r="H67" t="n">
        <v/>
      </c>
    </row>
    <row r="68">
      <c r="A68" t="inlineStr">
        <is>
          <t>R067</t>
        </is>
      </c>
      <c r="B68" t="inlineStr">
        <is>
          <t>2026-09-08</t>
        </is>
      </c>
      <c r="C68" t="inlineStr">
        <is>
          <t>DHA</t>
        </is>
      </c>
      <c r="D68" t="inlineStr">
        <is>
          <t>Gulberg</t>
        </is>
      </c>
      <c r="E68" t="n">
        <v>424</v>
      </c>
      <c r="F68" t="inlineStr">
        <is>
          <t>Cash</t>
        </is>
      </c>
      <c r="G68" t="inlineStr">
        <is>
          <t>Cancelled</t>
        </is>
      </c>
      <c r="H68" t="n">
        <v/>
      </c>
    </row>
    <row r="69">
      <c r="A69" t="inlineStr">
        <is>
          <t>R068</t>
        </is>
      </c>
      <c r="B69" t="inlineStr">
        <is>
          <t>2026-09-08</t>
        </is>
      </c>
      <c r="C69" t="inlineStr">
        <is>
          <t>Gulberg</t>
        </is>
      </c>
      <c r="D69" t="inlineStr">
        <is>
          <t>DHA</t>
        </is>
      </c>
      <c r="E69" t="n">
        <v>302</v>
      </c>
      <c r="F69" t="inlineStr">
        <is>
          <t>Cash</t>
        </is>
      </c>
      <c r="G69" t="inlineStr">
        <is>
          <t>Cancelled</t>
        </is>
      </c>
      <c r="H69" t="n">
        <v/>
      </c>
    </row>
    <row r="70">
      <c r="A70" t="inlineStr">
        <is>
          <t>R069</t>
        </is>
      </c>
      <c r="B70" t="inlineStr">
        <is>
          <t>2026-09-07</t>
        </is>
      </c>
      <c r="C70" t="inlineStr">
        <is>
          <t>Bahria Town</t>
        </is>
      </c>
      <c r="D70" t="inlineStr">
        <is>
          <t>Johar Town</t>
        </is>
      </c>
      <c r="E70" t="n">
        <v>403</v>
      </c>
      <c r="F70" t="inlineStr">
        <is>
          <t>UPI</t>
        </is>
      </c>
      <c r="G70" t="inlineStr">
        <is>
          <t>Completed</t>
        </is>
      </c>
      <c r="H70" t="n">
        <v>4.1</v>
      </c>
    </row>
    <row r="71">
      <c r="A71" t="inlineStr">
        <is>
          <t>R070</t>
        </is>
      </c>
      <c r="B71" t="inlineStr">
        <is>
          <t>2026-09-10</t>
        </is>
      </c>
      <c r="C71" t="inlineStr">
        <is>
          <t>Bahria Town</t>
        </is>
      </c>
      <c r="D71" t="inlineStr">
        <is>
          <t>Model Town</t>
        </is>
      </c>
      <c r="E71" t="n">
        <v>606</v>
      </c>
      <c r="F71" t="inlineStr">
        <is>
          <t>Card</t>
        </is>
      </c>
      <c r="G71" t="inlineStr">
        <is>
          <t>Completed</t>
        </is>
      </c>
      <c r="H71" t="n">
        <v>4.1</v>
      </c>
    </row>
    <row r="72">
      <c r="A72" t="inlineStr">
        <is>
          <t>R071</t>
        </is>
      </c>
      <c r="B72" t="inlineStr">
        <is>
          <t>2026-09-04</t>
        </is>
      </c>
      <c r="C72" t="inlineStr">
        <is>
          <t>DHA</t>
        </is>
      </c>
      <c r="D72" t="inlineStr">
        <is>
          <t>Bahria Town</t>
        </is>
      </c>
      <c r="E72" t="n">
        <v>504</v>
      </c>
      <c r="F72" t="inlineStr">
        <is>
          <t>Card</t>
        </is>
      </c>
      <c r="G72" t="inlineStr">
        <is>
          <t>Completed</t>
        </is>
      </c>
      <c r="H72" t="n">
        <v>3.9</v>
      </c>
    </row>
    <row r="73">
      <c r="A73" t="inlineStr">
        <is>
          <t>R072</t>
        </is>
      </c>
      <c r="B73" t="inlineStr">
        <is>
          <t>2026-09-01</t>
        </is>
      </c>
      <c r="C73" t="inlineStr">
        <is>
          <t>DHA</t>
        </is>
      </c>
      <c r="D73" t="inlineStr">
        <is>
          <t>DHA</t>
        </is>
      </c>
      <c r="E73" t="n">
        <v>533</v>
      </c>
      <c r="F73" t="inlineStr">
        <is>
          <t>Cash</t>
        </is>
      </c>
      <c r="G73" t="inlineStr">
        <is>
          <t>Completed</t>
        </is>
      </c>
      <c r="H73" t="n">
        <v>4.9</v>
      </c>
    </row>
    <row r="74">
      <c r="A74" t="inlineStr">
        <is>
          <t>R073</t>
        </is>
      </c>
      <c r="B74" t="inlineStr">
        <is>
          <t>2026-09-05</t>
        </is>
      </c>
      <c r="C74" t="inlineStr">
        <is>
          <t>DHA</t>
        </is>
      </c>
      <c r="D74" t="inlineStr">
        <is>
          <t>Bahria Town</t>
        </is>
      </c>
      <c r="E74" t="n">
        <v>429</v>
      </c>
      <c r="F74" t="inlineStr">
        <is>
          <t>Wallet</t>
        </is>
      </c>
      <c r="G74" t="inlineStr">
        <is>
          <t>Cancelled</t>
        </is>
      </c>
      <c r="H74" t="n">
        <v/>
      </c>
    </row>
    <row r="75">
      <c r="A75" t="inlineStr">
        <is>
          <t>R074</t>
        </is>
      </c>
      <c r="B75" t="inlineStr">
        <is>
          <t>2026-09-02</t>
        </is>
      </c>
      <c r="C75" t="inlineStr">
        <is>
          <t>DHA</t>
        </is>
      </c>
      <c r="D75" t="inlineStr">
        <is>
          <t>DHA</t>
        </is>
      </c>
      <c r="E75" t="n">
        <v>342</v>
      </c>
      <c r="F75" t="inlineStr">
        <is>
          <t>Card</t>
        </is>
      </c>
      <c r="G75" t="inlineStr">
        <is>
          <t>Completed</t>
        </is>
      </c>
      <c r="H75" t="n">
        <v>4.2</v>
      </c>
    </row>
    <row r="76">
      <c r="A76" t="inlineStr">
        <is>
          <t>R075</t>
        </is>
      </c>
      <c r="B76" t="inlineStr">
        <is>
          <t>2026-09-06</t>
        </is>
      </c>
      <c r="C76" t="inlineStr">
        <is>
          <t>Gulberg</t>
        </is>
      </c>
      <c r="D76" t="inlineStr">
        <is>
          <t>DHA</t>
        </is>
      </c>
      <c r="E76" t="n">
        <v>332</v>
      </c>
      <c r="F76" t="inlineStr">
        <is>
          <t>Cash</t>
        </is>
      </c>
      <c r="G76" t="inlineStr">
        <is>
          <t>Cancelled</t>
        </is>
      </c>
      <c r="H76" t="n">
        <v/>
      </c>
    </row>
    <row r="77">
      <c r="A77" t="inlineStr">
        <is>
          <t>R076</t>
        </is>
      </c>
      <c r="B77" t="inlineStr">
        <is>
          <t>2026-09-10</t>
        </is>
      </c>
      <c r="C77" t="inlineStr">
        <is>
          <t>DHA</t>
        </is>
      </c>
      <c r="D77" t="inlineStr">
        <is>
          <t>Gulberg</t>
        </is>
      </c>
      <c r="E77" t="n">
        <v>396</v>
      </c>
      <c r="F77" t="inlineStr">
        <is>
          <t>Cash</t>
        </is>
      </c>
      <c r="G77" t="inlineStr">
        <is>
          <t>Completed</t>
        </is>
      </c>
      <c r="H77" t="n">
        <v>3.8</v>
      </c>
    </row>
    <row r="78">
      <c r="A78" t="inlineStr">
        <is>
          <t>R077</t>
        </is>
      </c>
      <c r="B78" t="inlineStr">
        <is>
          <t>2026-09-05</t>
        </is>
      </c>
      <c r="C78" t="inlineStr">
        <is>
          <t>Bahria Town</t>
        </is>
      </c>
      <c r="D78" t="inlineStr">
        <is>
          <t>Model Town</t>
        </is>
      </c>
      <c r="E78" t="n">
        <v>228</v>
      </c>
      <c r="F78" t="inlineStr">
        <is>
          <t>UPI</t>
        </is>
      </c>
      <c r="G78" t="inlineStr">
        <is>
          <t>Completed</t>
        </is>
      </c>
      <c r="H78" t="n">
        <v>4.7</v>
      </c>
    </row>
    <row r="79">
      <c r="A79" t="inlineStr">
        <is>
          <t>R078</t>
        </is>
      </c>
      <c r="B79" t="inlineStr">
        <is>
          <t>2026-09-03</t>
        </is>
      </c>
      <c r="C79" t="inlineStr">
        <is>
          <t>Johar Town</t>
        </is>
      </c>
      <c r="D79" t="inlineStr">
        <is>
          <t>Gulberg</t>
        </is>
      </c>
      <c r="E79" t="n">
        <v>456</v>
      </c>
      <c r="F79" t="inlineStr">
        <is>
          <t>Wallet</t>
        </is>
      </c>
      <c r="G79" t="inlineStr">
        <is>
          <t>Completed</t>
        </is>
      </c>
      <c r="H79" t="n">
        <v>4.4</v>
      </c>
    </row>
    <row r="80">
      <c r="A80" t="inlineStr">
        <is>
          <t>R079</t>
        </is>
      </c>
      <c r="B80" t="inlineStr">
        <is>
          <t>2026-09-10</t>
        </is>
      </c>
      <c r="C80" t="inlineStr">
        <is>
          <t>Bahria Town</t>
        </is>
      </c>
      <c r="D80" t="inlineStr">
        <is>
          <t>Gulberg</t>
        </is>
      </c>
      <c r="E80" t="n">
        <v>389</v>
      </c>
      <c r="F80" t="inlineStr">
        <is>
          <t>Card</t>
        </is>
      </c>
      <c r="G80" t="inlineStr">
        <is>
          <t>Completed</t>
        </is>
      </c>
      <c r="H80" t="n">
        <v>4.7</v>
      </c>
    </row>
    <row r="81">
      <c r="A81" t="inlineStr">
        <is>
          <t>R080</t>
        </is>
      </c>
      <c r="B81" t="inlineStr">
        <is>
          <t>2026-09-01</t>
        </is>
      </c>
      <c r="C81" t="inlineStr">
        <is>
          <t>Gulberg</t>
        </is>
      </c>
      <c r="D81" t="inlineStr">
        <is>
          <t>Gulberg</t>
        </is>
      </c>
      <c r="E81" t="n">
        <v>303</v>
      </c>
      <c r="F81" t="inlineStr">
        <is>
          <t>UPI</t>
        </is>
      </c>
      <c r="G81" t="inlineStr">
        <is>
          <t>Completed</t>
        </is>
      </c>
      <c r="H81" t="n">
        <v>5</v>
      </c>
    </row>
    <row r="82">
      <c r="A82" t="inlineStr">
        <is>
          <t>R081</t>
        </is>
      </c>
      <c r="B82" t="inlineStr">
        <is>
          <t>2026-09-01</t>
        </is>
      </c>
      <c r="C82" t="inlineStr">
        <is>
          <t>Gulberg</t>
        </is>
      </c>
      <c r="D82" t="inlineStr">
        <is>
          <t>Model Town</t>
        </is>
      </c>
      <c r="E82" t="n">
        <v>454</v>
      </c>
      <c r="F82" t="inlineStr">
        <is>
          <t>Wallet</t>
        </is>
      </c>
      <c r="G82" t="inlineStr">
        <is>
          <t>Completed</t>
        </is>
      </c>
      <c r="H82" t="n">
        <v>4.6</v>
      </c>
    </row>
    <row r="83">
      <c r="A83" t="inlineStr">
        <is>
          <t>R082</t>
        </is>
      </c>
      <c r="B83" t="inlineStr">
        <is>
          <t>2026-09-07</t>
        </is>
      </c>
      <c r="C83" t="inlineStr">
        <is>
          <t>Johar Town</t>
        </is>
      </c>
      <c r="D83" t="inlineStr">
        <is>
          <t>Bahria Town</t>
        </is>
      </c>
      <c r="E83" t="n">
        <v>611</v>
      </c>
      <c r="F83" t="inlineStr">
        <is>
          <t>Cash</t>
        </is>
      </c>
      <c r="G83" t="inlineStr">
        <is>
          <t>Completed</t>
        </is>
      </c>
      <c r="H83" t="n">
        <v>4.1</v>
      </c>
    </row>
    <row r="84">
      <c r="A84" t="inlineStr">
        <is>
          <t>R083</t>
        </is>
      </c>
      <c r="B84" t="inlineStr">
        <is>
          <t>2026-09-09</t>
        </is>
      </c>
      <c r="C84" t="inlineStr">
        <is>
          <t>DHA</t>
        </is>
      </c>
      <c r="D84" t="inlineStr">
        <is>
          <t>Model Town</t>
        </is>
      </c>
      <c r="E84" t="n">
        <v>453</v>
      </c>
      <c r="F84" t="inlineStr">
        <is>
          <t>Cash</t>
        </is>
      </c>
      <c r="G84" t="inlineStr">
        <is>
          <t>Completed</t>
        </is>
      </c>
      <c r="H84" t="n">
        <v>4.6</v>
      </c>
    </row>
    <row r="85">
      <c r="A85" t="inlineStr">
        <is>
          <t>R084</t>
        </is>
      </c>
      <c r="B85" t="inlineStr">
        <is>
          <t>2026-09-08</t>
        </is>
      </c>
      <c r="C85" t="inlineStr">
        <is>
          <t>DHA</t>
        </is>
      </c>
      <c r="D85" t="inlineStr">
        <is>
          <t>Gulberg</t>
        </is>
      </c>
      <c r="E85" t="n">
        <v>394</v>
      </c>
      <c r="F85" t="inlineStr">
        <is>
          <t>Card</t>
        </is>
      </c>
      <c r="G85" t="inlineStr">
        <is>
          <t>Completed</t>
        </is>
      </c>
      <c r="H85" t="n">
        <v>4.7</v>
      </c>
    </row>
    <row r="86">
      <c r="A86" t="inlineStr">
        <is>
          <t>R085</t>
        </is>
      </c>
      <c r="B86" t="inlineStr">
        <is>
          <t>2026-09-01</t>
        </is>
      </c>
      <c r="C86" t="inlineStr">
        <is>
          <t>Model Town</t>
        </is>
      </c>
      <c r="D86" t="inlineStr">
        <is>
          <t>Bahria Town</t>
        </is>
      </c>
      <c r="E86" t="n">
        <v>461</v>
      </c>
      <c r="F86" t="inlineStr">
        <is>
          <t>Card</t>
        </is>
      </c>
      <c r="G86" t="inlineStr">
        <is>
          <t>Completed</t>
        </is>
      </c>
      <c r="H86" t="n">
        <v>4.2</v>
      </c>
    </row>
    <row r="87">
      <c r="A87" t="inlineStr">
        <is>
          <t>R086</t>
        </is>
      </c>
      <c r="B87" t="inlineStr">
        <is>
          <t>2026-09-05</t>
        </is>
      </c>
      <c r="C87" t="inlineStr">
        <is>
          <t>Model Town</t>
        </is>
      </c>
      <c r="D87" t="inlineStr">
        <is>
          <t>Gulberg</t>
        </is>
      </c>
      <c r="E87" t="n">
        <v>554</v>
      </c>
      <c r="F87" t="inlineStr">
        <is>
          <t>Card</t>
        </is>
      </c>
      <c r="G87" t="inlineStr">
        <is>
          <t>Completed</t>
        </is>
      </c>
      <c r="H87" t="n">
        <v>4.9</v>
      </c>
    </row>
    <row r="88">
      <c r="A88" t="inlineStr">
        <is>
          <t>R087</t>
        </is>
      </c>
      <c r="B88" t="inlineStr">
        <is>
          <t>2026-09-02</t>
        </is>
      </c>
      <c r="C88" t="inlineStr">
        <is>
          <t>Gulberg</t>
        </is>
      </c>
      <c r="D88" t="inlineStr">
        <is>
          <t>Gulberg</t>
        </is>
      </c>
      <c r="E88" t="n">
        <v>333</v>
      </c>
      <c r="F88" t="inlineStr">
        <is>
          <t>Card</t>
        </is>
      </c>
      <c r="G88" t="inlineStr">
        <is>
          <t>Completed</t>
        </is>
      </c>
      <c r="H88" t="n">
        <v>4.6</v>
      </c>
    </row>
    <row r="89">
      <c r="A89" t="inlineStr">
        <is>
          <t>R088</t>
        </is>
      </c>
      <c r="B89" t="inlineStr">
        <is>
          <t>2026-09-01</t>
        </is>
      </c>
      <c r="C89" t="inlineStr">
        <is>
          <t>Johar Town</t>
        </is>
      </c>
      <c r="D89" t="inlineStr">
        <is>
          <t>Johar Town</t>
        </is>
      </c>
      <c r="E89" t="n">
        <v>431</v>
      </c>
      <c r="F89" t="inlineStr">
        <is>
          <t>UPI</t>
        </is>
      </c>
      <c r="G89" t="inlineStr">
        <is>
          <t>Completed</t>
        </is>
      </c>
      <c r="H89" t="n">
        <v>4.3</v>
      </c>
    </row>
    <row r="90">
      <c r="A90" t="inlineStr">
        <is>
          <t>R089</t>
        </is>
      </c>
      <c r="B90" t="inlineStr">
        <is>
          <t>2026-09-04</t>
        </is>
      </c>
      <c r="C90" t="inlineStr">
        <is>
          <t>Gulberg</t>
        </is>
      </c>
      <c r="D90" t="inlineStr">
        <is>
          <t>DHA</t>
        </is>
      </c>
      <c r="E90" t="n">
        <v>391</v>
      </c>
      <c r="F90" t="inlineStr">
        <is>
          <t>Card</t>
        </is>
      </c>
      <c r="G90" t="inlineStr">
        <is>
          <t>Completed</t>
        </is>
      </c>
      <c r="H90" t="n">
        <v>5</v>
      </c>
    </row>
    <row r="91">
      <c r="A91" t="inlineStr">
        <is>
          <t>R090</t>
        </is>
      </c>
      <c r="B91" t="inlineStr">
        <is>
          <t>2026-09-03</t>
        </is>
      </c>
      <c r="C91" t="inlineStr">
        <is>
          <t>Model Town</t>
        </is>
      </c>
      <c r="D91" t="inlineStr">
        <is>
          <t>Model Town</t>
        </is>
      </c>
      <c r="E91" t="n">
        <v>253</v>
      </c>
      <c r="F91" t="inlineStr">
        <is>
          <t>Cash</t>
        </is>
      </c>
      <c r="G91" t="inlineStr">
        <is>
          <t>Completed</t>
        </is>
      </c>
      <c r="H91" t="n">
        <v>4.5</v>
      </c>
    </row>
    <row r="92">
      <c r="A92" t="inlineStr">
        <is>
          <t>R091</t>
        </is>
      </c>
      <c r="B92" t="inlineStr">
        <is>
          <t>2026-09-08</t>
        </is>
      </c>
      <c r="C92" t="inlineStr">
        <is>
          <t>Gulberg</t>
        </is>
      </c>
      <c r="D92" t="inlineStr">
        <is>
          <t>Model Town</t>
        </is>
      </c>
      <c r="E92" t="n">
        <v>427</v>
      </c>
      <c r="F92" t="inlineStr">
        <is>
          <t>UPI</t>
        </is>
      </c>
      <c r="G92" t="inlineStr">
        <is>
          <t>Completed</t>
        </is>
      </c>
      <c r="H92" t="n">
        <v>3.8</v>
      </c>
    </row>
    <row r="93">
      <c r="A93" t="inlineStr">
        <is>
          <t>R092</t>
        </is>
      </c>
      <c r="B93" t="inlineStr">
        <is>
          <t>2026-09-02</t>
        </is>
      </c>
      <c r="C93" t="inlineStr">
        <is>
          <t>DHA</t>
        </is>
      </c>
      <c r="D93" t="inlineStr">
        <is>
          <t>Bahria Town</t>
        </is>
      </c>
      <c r="E93" t="n">
        <v>455</v>
      </c>
      <c r="F93" t="inlineStr">
        <is>
          <t>Card</t>
        </is>
      </c>
      <c r="G93" t="inlineStr">
        <is>
          <t>Completed</t>
        </is>
      </c>
      <c r="H93" t="n">
        <v>4.3</v>
      </c>
    </row>
    <row r="94">
      <c r="A94" t="inlineStr">
        <is>
          <t>R093</t>
        </is>
      </c>
      <c r="B94" t="inlineStr">
        <is>
          <t>2026-09-10</t>
        </is>
      </c>
      <c r="C94" t="inlineStr">
        <is>
          <t>Bahria Town</t>
        </is>
      </c>
      <c r="D94" t="inlineStr">
        <is>
          <t>DHA</t>
        </is>
      </c>
      <c r="E94" t="n">
        <v>409</v>
      </c>
      <c r="F94" t="inlineStr">
        <is>
          <t>Card</t>
        </is>
      </c>
      <c r="G94" t="inlineStr">
        <is>
          <t>Completed</t>
        </is>
      </c>
      <c r="H94" t="n">
        <v>4.7</v>
      </c>
    </row>
    <row r="95">
      <c r="A95" t="inlineStr">
        <is>
          <t>R094</t>
        </is>
      </c>
      <c r="B95" t="inlineStr">
        <is>
          <t>2026-09-08</t>
        </is>
      </c>
      <c r="C95" t="inlineStr">
        <is>
          <t>Johar Town</t>
        </is>
      </c>
      <c r="D95" t="inlineStr">
        <is>
          <t>Bahria Town</t>
        </is>
      </c>
      <c r="E95" t="n">
        <v>424</v>
      </c>
      <c r="F95" t="inlineStr">
        <is>
          <t>Cash</t>
        </is>
      </c>
      <c r="G95" t="inlineStr">
        <is>
          <t>Completed</t>
        </is>
      </c>
      <c r="H95" t="n">
        <v>4.8</v>
      </c>
    </row>
    <row r="96">
      <c r="A96" t="inlineStr">
        <is>
          <t>R095</t>
        </is>
      </c>
      <c r="B96" t="inlineStr">
        <is>
          <t>2026-09-03</t>
        </is>
      </c>
      <c r="C96" t="inlineStr">
        <is>
          <t>DHA</t>
        </is>
      </c>
      <c r="D96" t="inlineStr">
        <is>
          <t>Gulberg</t>
        </is>
      </c>
      <c r="E96" t="n">
        <v>598</v>
      </c>
      <c r="F96" t="inlineStr">
        <is>
          <t>Cash</t>
        </is>
      </c>
      <c r="G96" t="inlineStr">
        <is>
          <t>Completed</t>
        </is>
      </c>
      <c r="H96" t="n">
        <v>3.6</v>
      </c>
    </row>
    <row r="97">
      <c r="A97" t="inlineStr">
        <is>
          <t>R096</t>
        </is>
      </c>
      <c r="B97" t="inlineStr">
        <is>
          <t>2026-09-03</t>
        </is>
      </c>
      <c r="C97" t="inlineStr">
        <is>
          <t>Model Town</t>
        </is>
      </c>
      <c r="D97" t="inlineStr">
        <is>
          <t>Model Town</t>
        </is>
      </c>
      <c r="E97" t="n">
        <v>445</v>
      </c>
      <c r="F97" t="inlineStr">
        <is>
          <t>Card</t>
        </is>
      </c>
      <c r="G97" t="inlineStr">
        <is>
          <t>Completed</t>
        </is>
      </c>
      <c r="H97" t="n">
        <v>3.7</v>
      </c>
    </row>
    <row r="98">
      <c r="A98" t="inlineStr">
        <is>
          <t>R097</t>
        </is>
      </c>
      <c r="B98" t="inlineStr">
        <is>
          <t>2026-09-03</t>
        </is>
      </c>
      <c r="C98" t="inlineStr">
        <is>
          <t>Gulberg</t>
        </is>
      </c>
      <c r="D98" t="inlineStr">
        <is>
          <t>DHA</t>
        </is>
      </c>
      <c r="E98" t="n">
        <v>445</v>
      </c>
      <c r="F98" t="inlineStr">
        <is>
          <t>Cash</t>
        </is>
      </c>
      <c r="G98" t="inlineStr">
        <is>
          <t>Completed</t>
        </is>
      </c>
      <c r="H98" t="n">
        <v>4.8</v>
      </c>
    </row>
    <row r="99">
      <c r="A99" t="inlineStr">
        <is>
          <t>R098</t>
        </is>
      </c>
      <c r="B99" t="inlineStr">
        <is>
          <t>2026-09-09</t>
        </is>
      </c>
      <c r="C99" t="inlineStr">
        <is>
          <t>Bahria Town</t>
        </is>
      </c>
      <c r="D99" t="inlineStr">
        <is>
          <t>Johar Town</t>
        </is>
      </c>
      <c r="E99" t="n">
        <v>290</v>
      </c>
      <c r="F99" t="inlineStr">
        <is>
          <t>Card</t>
        </is>
      </c>
      <c r="G99" t="inlineStr">
        <is>
          <t>Completed</t>
        </is>
      </c>
      <c r="H99" t="n">
        <v>4</v>
      </c>
    </row>
    <row r="100">
      <c r="A100" t="inlineStr">
        <is>
          <t>R099</t>
        </is>
      </c>
      <c r="B100" t="inlineStr">
        <is>
          <t>2026-09-02</t>
        </is>
      </c>
      <c r="C100" t="inlineStr">
        <is>
          <t>DHA</t>
        </is>
      </c>
      <c r="D100" t="inlineStr">
        <is>
          <t>Gulberg</t>
        </is>
      </c>
      <c r="E100" t="n">
        <v>567</v>
      </c>
      <c r="F100" t="inlineStr">
        <is>
          <t>Cash</t>
        </is>
      </c>
      <c r="G100" t="inlineStr">
        <is>
          <t>Completed</t>
        </is>
      </c>
      <c r="H100" t="n">
        <v>4.1</v>
      </c>
    </row>
    <row r="101">
      <c r="A101" t="inlineStr">
        <is>
          <t>R100</t>
        </is>
      </c>
      <c r="B101" t="inlineStr">
        <is>
          <t>2026-09-04</t>
        </is>
      </c>
      <c r="C101" t="inlineStr">
        <is>
          <t>Model Town</t>
        </is>
      </c>
      <c r="D101" t="inlineStr">
        <is>
          <t>Gulberg</t>
        </is>
      </c>
      <c r="E101" t="n">
        <v>618</v>
      </c>
      <c r="F101" t="inlineStr">
        <is>
          <t>Cash</t>
        </is>
      </c>
      <c r="G101" t="inlineStr">
        <is>
          <t>Completed</t>
        </is>
      </c>
      <c r="H101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9" customWidth="1" min="1" max="1"/>
    <col width="87" customWidth="1" min="2" max="2"/>
    <col width="15" customWidth="1" min="3" max="3"/>
    <col width="32" customWidth="1" min="4" max="4"/>
  </cols>
  <sheetData>
    <row r="1">
      <c r="A1" s="2" t="inlineStr">
        <is>
          <t>ZYROO RIDE ANALYTICS ? GOOGLE SHEETS LIVE METRIC ENGINE</t>
        </is>
      </c>
    </row>
    <row r="2"/>
    <row r="3">
      <c r="A3" s="3" t="inlineStr">
        <is>
          <t>Metric Name</t>
        </is>
      </c>
      <c r="B3" s="3" t="inlineStr">
        <is>
          <t>Formula (Google Sheets / Excel)</t>
        </is>
      </c>
      <c r="C3" s="3" t="inlineStr">
        <is>
          <t>Value</t>
        </is>
      </c>
      <c r="D3" s="3" t="inlineStr">
        <is>
          <t>Description</t>
        </is>
      </c>
    </row>
    <row r="4">
      <c r="A4" t="inlineStr">
        <is>
          <t>Total Rides</t>
        </is>
      </c>
      <c r="B4">
        <f>COUNTA('Cleaned Rides Data'!A2:A101)</f>
        <v/>
      </c>
      <c r="C4" t="inlineStr">
        <is>
          <t>100</t>
        </is>
      </c>
      <c r="D4" t="inlineStr">
        <is>
          <t>Total booked requests</t>
        </is>
      </c>
    </row>
    <row r="5">
      <c r="A5" t="inlineStr">
        <is>
          <t>Completed Rides</t>
        </is>
      </c>
      <c r="B5">
        <f>COUNTIF('Cleaned Rides Data'!G2:G101, "Completed")</f>
        <v/>
      </c>
      <c r="C5" t="inlineStr">
        <is>
          <t>85</t>
        </is>
      </c>
      <c r="D5" t="inlineStr">
        <is>
          <t>Fulfillment count</t>
        </is>
      </c>
    </row>
    <row r="6">
      <c r="A6" t="inlineStr">
        <is>
          <t>Cancelled Rides</t>
        </is>
      </c>
      <c r="B6">
        <f>COUNTIF('Cleaned Rides Data'!G2:G101, "Cancelled")</f>
        <v/>
      </c>
      <c r="C6" t="inlineStr">
        <is>
          <t>15</t>
        </is>
      </c>
      <c r="D6" t="inlineStr">
        <is>
          <t>Cancellation churn count</t>
        </is>
      </c>
    </row>
    <row r="7">
      <c r="A7" t="inlineStr">
        <is>
          <t>Completion Rate</t>
        </is>
      </c>
      <c r="B7">
        <f>C5/C4</f>
        <v/>
      </c>
      <c r="C7" t="inlineStr">
        <is>
          <t>85.0%</t>
        </is>
      </c>
      <c r="D7" t="inlineStr">
        <is>
          <t>Fulfillment percentage</t>
        </is>
      </c>
    </row>
    <row r="8">
      <c r="A8" t="inlineStr">
        <is>
          <t>Cancellation Rate</t>
        </is>
      </c>
      <c r="B8">
        <f>C6/C4</f>
        <v/>
      </c>
      <c r="C8" t="inlineStr">
        <is>
          <t>15.0%</t>
        </is>
      </c>
      <c r="D8" t="inlineStr">
        <is>
          <t>Churn percentage</t>
        </is>
      </c>
    </row>
    <row r="9">
      <c r="A9" t="inlineStr">
        <is>
          <t>Total Realized Revenue</t>
        </is>
      </c>
      <c r="B9">
        <f>SUMIF('Cleaned Rides Data'!G2:G101, "Completed", 'Cleaned Rides Data'!E2:E101)</f>
        <v/>
      </c>
      <c r="C9" t="inlineStr">
        <is>
          <t>?36,466</t>
        </is>
      </c>
      <c r="D9" t="inlineStr">
        <is>
          <t>Net collected revenue</t>
        </is>
      </c>
    </row>
    <row r="10">
      <c r="A10" t="inlineStr">
        <is>
          <t>Gross Booking Value</t>
        </is>
      </c>
      <c r="B10">
        <f>SUM('Cleaned Rides Data'!E2:E101)</f>
        <v/>
      </c>
      <c r="C10" t="inlineStr">
        <is>
          <t>?42,962</t>
        </is>
      </c>
      <c r="D10" t="inlineStr">
        <is>
          <t>Total theoretical bookings</t>
        </is>
      </c>
    </row>
    <row r="11">
      <c r="A11" t="inlineStr">
        <is>
          <t>Unrealized / Lost Revenue</t>
        </is>
      </c>
      <c r="B11">
        <f>C10-C9</f>
        <v/>
      </c>
      <c r="C11" t="inlineStr">
        <is>
          <t>?6,496</t>
        </is>
      </c>
      <c r="D11" t="inlineStr">
        <is>
          <t>Lost due to cancellations</t>
        </is>
      </c>
    </row>
    <row r="12">
      <c r="A12" t="inlineStr">
        <is>
          <t>Average Fare (Completed)</t>
        </is>
      </c>
      <c r="B12">
        <f>AVERAGEIF('Cleaned Rides Data'!G2:G101, "Completed", 'Cleaned Rides Data'!E2:E101)</f>
        <v/>
      </c>
      <c r="C12" t="inlineStr">
        <is>
          <t>?429.01</t>
        </is>
      </c>
      <c r="D12" t="inlineStr">
        <is>
          <t>Mean fare per completed trip</t>
        </is>
      </c>
    </row>
    <row r="13">
      <c r="A13" t="inlineStr">
        <is>
          <t>Average Rating (Completed)</t>
        </is>
      </c>
      <c r="B13">
        <f>AVERAGEIF('Cleaned Rides Data'!G2:G101, "Completed", 'Cleaned Rides Data'!H2:H101)</f>
        <v/>
      </c>
      <c r="C13" t="inlineStr">
        <is>
          <t>4.27 ?</t>
        </is>
      </c>
      <c r="D13" t="inlineStr">
        <is>
          <t>Customer satisfaction score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2026-09-11T14:20:09Z</dcterms:created>
  <dcterms:modified xsi:type="dcterms:W3CDTF">2026-09-11T14:20:09Z</dcterms:modified>
</cp:coreProperties>
</file>